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echnical Assessment" sheetId="2" state="visible" r:id="rId4"/>
    <sheet name="Product Catalog" sheetId="3" state="visible" r:id="rId5"/>
    <sheet name="Meeting Notes" sheetId="4" state="visible" r:id="rId6"/>
    <sheet name="Vendor Comparison" sheetId="5" state="visible" r:id="rId7"/>
    <sheet name="Instru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<sst xmlns="http://schemas.openxmlformats.org/spreadsheetml/2006/main" count="260" uniqueCount="221">
  <si>
    <t xml:space="preserve">EXTERNAL ENTITY ASSESSMENT FRAMEWORK</t>
  </si>
  <si>
    <t xml:space="preserve">Technology Partnership &amp; Vendor Evaluation Tool</t>
  </si>
  <si>
    <t xml:space="preserve">ENTITY INFORMATION</t>
  </si>
  <si>
    <t xml:space="preserve">Entity Name:</t>
  </si>
  <si>
    <t xml:space="preserve">Siemens AG</t>
  </si>
  <si>
    <t xml:space="preserve">Assessment Date:</t>
  </si>
  <si>
    <t xml:space="preserve">2025-12-01</t>
  </si>
  <si>
    <t xml:space="preserve">Industry/Sector:</t>
  </si>
  <si>
    <t xml:space="preserve">Smart Infrastructure / IoT</t>
  </si>
  <si>
    <t xml:space="preserve">Assessor Name:</t>
  </si>
  <si>
    <t xml:space="preserve">Headquarters:</t>
  </si>
  <si>
    <t xml:space="preserve">Munich, Germany</t>
  </si>
  <si>
    <t xml:space="preserve">Project Name:</t>
  </si>
  <si>
    <t xml:space="preserve">The Mukaab Smart City</t>
  </si>
  <si>
    <t xml:space="preserve">Assessment Type:</t>
  </si>
  <si>
    <t xml:space="preserve">Meeting Type:</t>
  </si>
  <si>
    <t xml:space="preserve">OVERALL ASSESSMENT SUMMARY</t>
  </si>
  <si>
    <t xml:space="preserve">Category</t>
  </si>
  <si>
    <t xml:space="preserve">Score (1-5)</t>
  </si>
  <si>
    <t xml:space="preserve">Weight</t>
  </si>
  <si>
    <t xml:space="preserve">Weighted Score</t>
  </si>
  <si>
    <t xml:space="preserve">Key Observation</t>
  </si>
  <si>
    <t xml:space="preserve">Technical Openness (APIs, Data Access)</t>
  </si>
  <si>
    <t xml:space="preserve">Real-Time Capability (Latency, Edge)</t>
  </si>
  <si>
    <t xml:space="preserve">Scalability</t>
  </si>
  <si>
    <t xml:space="preserve">AI/ML Readiness</t>
  </si>
  <si>
    <t xml:space="preserve">Digital Twin Capability</t>
  </si>
  <si>
    <t xml:space="preserve">Local Support &amp; Presence</t>
  </si>
  <si>
    <t xml:space="preserve">Security &amp; Compliance</t>
  </si>
  <si>
    <t xml:space="preserve">OVERALL WEIGHTED SCORE</t>
  </si>
  <si>
    <t xml:space="preserve">SCORE INTERPRETATION</t>
  </si>
  <si>
    <t xml:space="preserve">4.0 - 5.0</t>
  </si>
  <si>
    <t xml:space="preserve">Excellent</t>
  </si>
  <si>
    <t xml:space="preserve">Proceed to partnership/acquisition discussions</t>
  </si>
  <si>
    <t xml:space="preserve">3.0 - 3.9</t>
  </si>
  <si>
    <t xml:space="preserve">Good</t>
  </si>
  <si>
    <t xml:space="preserve">Proceed with specific technical validation</t>
  </si>
  <si>
    <t xml:space="preserve">2.0 - 2.9</t>
  </si>
  <si>
    <t xml:space="preserve">Moderate</t>
  </si>
  <si>
    <t xml:space="preserve">Consider alternatives or request improvements</t>
  </si>
  <si>
    <t xml:space="preserve">1.0 - 1.9</t>
  </si>
  <si>
    <t xml:space="preserve">Poor</t>
  </si>
  <si>
    <t xml:space="preserve">Do not proceed without major changes</t>
  </si>
  <si>
    <t xml:space="preserve">FINAL RECOMMENDATION</t>
  </si>
  <si>
    <t xml:space="preserve">Recommendation:</t>
  </si>
  <si>
    <t xml:space="preserve">Key Strengths:</t>
  </si>
  <si>
    <t xml:space="preserve">Key Concerns:</t>
  </si>
  <si>
    <t xml:space="preserve">Next Steps:</t>
  </si>
  <si>
    <t xml:space="preserve">DETAILED TECHNICAL ASSESSMENT</t>
  </si>
  <si>
    <t xml:space="preserve">DATA &amp; API OPENNESS</t>
  </si>
  <si>
    <t xml:space="preserve">Criteria</t>
  </si>
  <si>
    <t xml:space="preserve">Description</t>
  </si>
  <si>
    <t xml:space="preserve">Evidence/Notes</t>
  </si>
  <si>
    <t xml:space="preserve">Red Flag?</t>
  </si>
  <si>
    <t xml:space="preserve">Action Required</t>
  </si>
  <si>
    <t xml:space="preserve">API Type (REST/GraphQL/WebSocket)</t>
  </si>
  <si>
    <t xml:space="preserve">What protocols are available?</t>
  </si>
  <si>
    <t xml:space="preserve">Streaming Support</t>
  </si>
  <si>
    <t xml:space="preserve">Real-time data streaming capability</t>
  </si>
  <si>
    <t xml:space="preserve">API Rate Limits</t>
  </si>
  <si>
    <t xml:space="preserve">Requests per second/minute limits</t>
  </si>
  <si>
    <t xml:space="preserve">Data Export Options</t>
  </si>
  <si>
    <t xml:space="preserve">Direct access to raw data lake</t>
  </si>
  <si>
    <t xml:space="preserve">Third-Party Integration</t>
  </si>
  <si>
    <t xml:space="preserve">Works with non-vendor hardware</t>
  </si>
  <si>
    <t xml:space="preserve">Bi-directional Control</t>
  </si>
  <si>
    <t xml:space="preserve">Can send commands, not just read</t>
  </si>
  <si>
    <t xml:space="preserve">Authentication/OAuth</t>
  </si>
  <si>
    <t xml:space="preserve">Modern auth protocols supported</t>
  </si>
  <si>
    <t xml:space="preserve">LATENCY &amp; PERFORMANCE</t>
  </si>
  <si>
    <t xml:space="preserve">Edge Computing Capability</t>
  </si>
  <si>
    <t xml:space="preserve">Local processing on devices</t>
  </si>
  <si>
    <t xml:space="preserve">Sensor-to-Cloud Latency</t>
  </si>
  <si>
    <t xml:space="preserve">Typical end-to-end delay</t>
  </si>
  <si>
    <t xml:space="preserve">Real-Time Reporting Interval</t>
  </si>
  <si>
    <t xml:space="preserve">How often data updates</t>
  </si>
  <si>
    <t xml:space="preserve">Edge Hardware Specs</t>
  </si>
  <si>
    <t xml:space="preserve">CPU/RAM/Storage on edge devices</t>
  </si>
  <si>
    <t xml:space="preserve">Concurrent Connections</t>
  </si>
  <si>
    <t xml:space="preserve">Max simultaneous data streams</t>
  </si>
  <si>
    <t xml:space="preserve">Failover/Redundancy</t>
  </si>
  <si>
    <t xml:space="preserve">High availability design</t>
  </si>
  <si>
    <t xml:space="preserve">AI/ML READINESS</t>
  </si>
  <si>
    <t xml:space="preserve">Custom Model Deployment</t>
  </si>
  <si>
    <t xml:space="preserve">Run your own AI models</t>
  </si>
  <si>
    <t xml:space="preserve">Container Support (Docker)</t>
  </si>
  <si>
    <t xml:space="preserve">Standard containerization</t>
  </si>
  <si>
    <t xml:space="preserve">ML Framework Support</t>
  </si>
  <si>
    <t xml:space="preserve">TensorFlow/PyTorch compatibility</t>
  </si>
  <si>
    <t xml:space="preserve">Training Data Access</t>
  </si>
  <si>
    <t xml:space="preserve">Access to historical data for ML</t>
  </si>
  <si>
    <t xml:space="preserve">Pre-built AI Features</t>
  </si>
  <si>
    <t xml:space="preserve">Out-of-box AI capabilities</t>
  </si>
  <si>
    <t xml:space="preserve">AI Partner Ecosystem</t>
  </si>
  <si>
    <t xml:space="preserve">Integrations with AI platforms</t>
  </si>
  <si>
    <t xml:space="preserve">DIGITAL TWIN &amp; SIMULATION</t>
  </si>
  <si>
    <t xml:space="preserve">3D Visualization</t>
  </si>
  <si>
    <t xml:space="preserve">Digital twin visualization quality</t>
  </si>
  <si>
    <t xml:space="preserve">Physics-Based Simulation</t>
  </si>
  <si>
    <t xml:space="preserve">Accurate physical modeling</t>
  </si>
  <si>
    <t xml:space="preserve">Third-Party Asset Import</t>
  </si>
  <si>
    <t xml:space="preserve">Import non-vendor 3D models</t>
  </si>
  <si>
    <t xml:space="preserve">Real-Time Data Integration</t>
  </si>
  <si>
    <t xml:space="preserve">Live data in digital twin</t>
  </si>
  <si>
    <t xml:space="preserve">Emergency Simulation</t>
  </si>
  <si>
    <t xml:space="preserve">Evacuation/scenario modeling</t>
  </si>
  <si>
    <t xml:space="preserve">NVIDIA Omniverse Integration</t>
  </si>
  <si>
    <t xml:space="preserve">Advanced rendering support</t>
  </si>
  <si>
    <t xml:space="preserve">SECURITY &amp; COMPLIANCE</t>
  </si>
  <si>
    <t xml:space="preserve">Cybersecurity Certifications</t>
  </si>
  <si>
    <t xml:space="preserve">IEC 62443, ISO 27001, etc.</t>
  </si>
  <si>
    <t xml:space="preserve">Data Encryption</t>
  </si>
  <si>
    <t xml:space="preserve">At rest and in transit</t>
  </si>
  <si>
    <t xml:space="preserve">Access Control</t>
  </si>
  <si>
    <t xml:space="preserve">Role-based permissions</t>
  </si>
  <si>
    <t xml:space="preserve">Audit Logging</t>
  </si>
  <si>
    <t xml:space="preserve">Activity tracking capability</t>
  </si>
  <si>
    <t xml:space="preserve">Data Residency Options</t>
  </si>
  <si>
    <t xml:space="preserve">Local/regional data storage</t>
  </si>
  <si>
    <t xml:space="preserve">Compliance Frameworks</t>
  </si>
  <si>
    <t xml:space="preserve">GDPR, Saudi regulations, etc.</t>
  </si>
  <si>
    <t xml:space="preserve">VENDOR PRODUCT CATALOG</t>
  </si>
  <si>
    <t xml:space="preserve">Product Name</t>
  </si>
  <si>
    <t xml:space="preserve">Relevance (H/M/L)</t>
  </si>
  <si>
    <t xml:space="preserve">Our Assessment</t>
  </si>
  <si>
    <t xml:space="preserve">Integration Complexity</t>
  </si>
  <si>
    <t xml:space="preserve">Pricing Model</t>
  </si>
  <si>
    <t xml:space="preserve">Notes</t>
  </si>
  <si>
    <t xml:space="preserve">Building X</t>
  </si>
  <si>
    <t xml:space="preserve">Platform</t>
  </si>
  <si>
    <t xml:space="preserve">Cloud-native smart building SaaS suite</t>
  </si>
  <si>
    <t xml:space="preserve">H</t>
  </si>
  <si>
    <t xml:space="preserve">SaaS Subscription</t>
  </si>
  <si>
    <t xml:space="preserve">Desigo CC</t>
  </si>
  <si>
    <t xml:space="preserve">BMS</t>
  </si>
  <si>
    <t xml:space="preserve">On-premise building management system</t>
  </si>
  <si>
    <t xml:space="preserve">License + Support</t>
  </si>
  <si>
    <t xml:space="preserve">Enlighted</t>
  </si>
  <si>
    <t xml:space="preserve">IoT Sensors</t>
  </si>
  <si>
    <t xml:space="preserve">Multi-sensor IoT nodes in lighting</t>
  </si>
  <si>
    <t xml:space="preserve">Hardware + SaaS</t>
  </si>
  <si>
    <t xml:space="preserve">Industrial Edge</t>
  </si>
  <si>
    <t xml:space="preserve">Edge Computing</t>
  </si>
  <si>
    <t xml:space="preserve">Platform for edge app deployment</t>
  </si>
  <si>
    <t xml:space="preserve">License + Hardware</t>
  </si>
  <si>
    <t xml:space="preserve">Xcelerator</t>
  </si>
  <si>
    <t xml:space="preserve">Ecosystem</t>
  </si>
  <si>
    <t xml:space="preserve">Open digital business platform</t>
  </si>
  <si>
    <t xml:space="preserve">M</t>
  </si>
  <si>
    <t xml:space="preserve">Platform Access</t>
  </si>
  <si>
    <t xml:space="preserve">Digital Twin (Omniverse)</t>
  </si>
  <si>
    <t xml:space="preserve">Simulation</t>
  </si>
  <si>
    <t xml:space="preserve">NVIDIA-powered 3D simulation</t>
  </si>
  <si>
    <t xml:space="preserve">Enterprise License</t>
  </si>
  <si>
    <t xml:space="preserve">Building X Portfolio Manager</t>
  </si>
  <si>
    <t xml:space="preserve">Multi-site</t>
  </si>
  <si>
    <t xml:space="preserve">Fleet/portfolio management app</t>
  </si>
  <si>
    <t xml:space="preserve">SaaS Add-on</t>
  </si>
  <si>
    <t xml:space="preserve">Available May 2025</t>
  </si>
  <si>
    <t xml:space="preserve">MEETING NOTES &amp; OBSERVATIONS</t>
  </si>
  <si>
    <t xml:space="preserve">Question Asked</t>
  </si>
  <si>
    <t xml:space="preserve">Their Response</t>
  </si>
  <si>
    <t xml:space="preserve">Assessment (Good/Neutral/Concern)</t>
  </si>
  <si>
    <t xml:space="preserve">Follow-up Needed?</t>
  </si>
  <si>
    <t xml:space="preserve">Priority</t>
  </si>
  <si>
    <t xml:space="preserve">Does Building X support real-time streaming APIs?</t>
  </si>
  <si>
    <t xml:space="preserve">What is the API rate limit per second?</t>
  </si>
  <si>
    <t xml:space="preserve">Can we access the Data Lake directly for ML training?</t>
  </si>
  <si>
    <t xml:space="preserve">What is the sensor-to-cloud latency?</t>
  </si>
  <si>
    <t xml:space="preserve">Can we deploy custom Docker containers on Industrial Edge?</t>
  </si>
  <si>
    <t xml:space="preserve">Is NVIDIA Omniverse integration available for buildings?</t>
  </si>
  <si>
    <t xml:space="preserve">Do you have a dedicated engineering team in Riyadh?</t>
  </si>
  <si>
    <t xml:space="preserve">How do you handle third-party non-Siemens sensors?</t>
  </si>
  <si>
    <t xml:space="preserve">What is the certification process for custom Edge apps?</t>
  </si>
  <si>
    <t xml:space="preserve">Can we run TensorFlow models on your Edge devices?</t>
  </si>
  <si>
    <t xml:space="preserve">VENDOR COMPARISON MATRIX</t>
  </si>
  <si>
    <t xml:space="preserve">Siemens</t>
  </si>
  <si>
    <t xml:space="preserve">Score</t>
  </si>
  <si>
    <t xml:space="preserve">[Vendor 2]</t>
  </si>
  <si>
    <t xml:space="preserve">[Vendor 3]</t>
  </si>
  <si>
    <t xml:space="preserve">API Openness</t>
  </si>
  <si>
    <t xml:space="preserve">Real-Time Capability</t>
  </si>
  <si>
    <t xml:space="preserve">Digital Twin</t>
  </si>
  <si>
    <t xml:space="preserve">Security</t>
  </si>
  <si>
    <t xml:space="preserve">Local Support</t>
  </si>
  <si>
    <t xml:space="preserve">Cost Competitiveness</t>
  </si>
  <si>
    <t xml:space="preserve">Partnership Flexibility</t>
  </si>
  <si>
    <t xml:space="preserve">WEIGHTED TOTAL</t>
  </si>
  <si>
    <t xml:space="preserve">HOW TO USE THIS ASSESSMENT FRAMEWORK</t>
  </si>
  <si>
    <t xml:space="preserve">DASHBOARD (Sheet 1)</t>
  </si>
  <si>
    <t xml:space="preserve">• Fill in entity information at the top</t>
  </si>
  <si>
    <t xml:space="preserve">• Score each category from 1 (Poor) to 5 (Excellent)</t>
  </si>
  <si>
    <t xml:space="preserve">• The weighted score calculates automatically</t>
  </si>
  <si>
    <t xml:space="preserve">• Use the interpretation guide to determine next steps</t>
  </si>
  <si>
    <t xml:space="preserve">• Fill in the recommendation section with your verdict</t>
  </si>
  <si>
    <t xml:space="preserve">TECHNICAL ASSESSMENT (Sheet 2)</t>
  </si>
  <si>
    <t xml:space="preserve">• Work through each technical category during/after the meeting</t>
  </si>
  <si>
    <t xml:space="preserve">• Score individual criteria based on demonstrations and responses</t>
  </si>
  <si>
    <t xml:space="preserve">• Mark red flags for any concerning answers</t>
  </si>
  <si>
    <t xml:space="preserve">• Note specific actions required for follow-up</t>
  </si>
  <si>
    <t xml:space="preserve">PRODUCT CATALOG (Sheet 3)</t>
  </si>
  <si>
    <t xml:space="preserve">• Add all vendor products discussed</t>
  </si>
  <si>
    <t xml:space="preserve">• Rate relevance to your project (High/Medium/Low)</t>
  </si>
  <si>
    <t xml:space="preserve">• Assess integration complexity</t>
  </si>
  <si>
    <t xml:space="preserve">• This becomes your reference for what they offer</t>
  </si>
  <si>
    <t xml:space="preserve">MEETING NOTES (Sheet 4)</t>
  </si>
  <si>
    <t xml:space="preserve">• Use during the meeting to capture responses</t>
  </si>
  <si>
    <t xml:space="preserve">• The questions are pre-populated with key topics</t>
  </si>
  <si>
    <t xml:space="preserve">• Add your own questions as needed</t>
  </si>
  <si>
    <t xml:space="preserve">• Mark items needing follow-up</t>
  </si>
  <si>
    <t xml:space="preserve">VENDOR COMPARISON (Sheet 5)</t>
  </si>
  <si>
    <t xml:space="preserve">• Use when evaluating multiple vendors</t>
  </si>
  <si>
    <t xml:space="preserve">• Score each vendor on the same criteria</t>
  </si>
  <si>
    <t xml:space="preserve">• Weighted totals enable objective comparison</t>
  </si>
  <si>
    <t xml:space="preserve">• Useful for presenting options to management</t>
  </si>
  <si>
    <t xml:space="preserve">SCORING GUIDE</t>
  </si>
  <si>
    <t xml:space="preserve">• 5 = Excellent - Exceeds requirements, best-in-class</t>
  </si>
  <si>
    <t xml:space="preserve">• 4 = Good - Meets all requirements comfortably</t>
  </si>
  <si>
    <t xml:space="preserve">• 3 = Acceptable - Meets minimum requirements</t>
  </si>
  <si>
    <t xml:space="preserve">• 2 = Below Average - Gaps that need addressing</t>
  </si>
  <si>
    <t xml:space="preserve">• 1 = Poor - Does not meet requirements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</si>
</sst>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6"/>
      <color rgb="FF1F4E79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5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C6EFCE"/>
      </patternFill>
    </fill>
    <fill>
      <patternFill patternType="solid">
        <fgColor rgb="FFC6EFCE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6" min="5" style="0" width="20"/>
    <col collapsed="false" customWidth="true" hidden="false" outlineLevel="0" max="8" min="7" style="0" width="15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4" t="s">
        <v>5</v>
      </c>
      <c r="F5" s="5" t="s">
        <v>6</v>
      </c>
      <c r="G5" s="5"/>
      <c r="H5" s="5"/>
    </row>
    <row r="6" customFormat="false" ht="15" hidden="false" customHeight="false" outlineLevel="0" collapsed="false">
      <c r="A6" s="4" t="s">
        <v>7</v>
      </c>
      <c r="B6" s="5" t="s">
        <v>8</v>
      </c>
      <c r="C6" s="5"/>
      <c r="D6" s="5"/>
      <c r="E6" s="4" t="s">
        <v>9</v>
      </c>
      <c r="F6" s="5"/>
      <c r="G6" s="5"/>
      <c r="H6" s="5"/>
    </row>
    <row r="7" customFormat="false" ht="15" hidden="false" customHeight="false" outlineLevel="0" collapsed="false">
      <c r="A7" s="4" t="s">
        <v>10</v>
      </c>
      <c r="B7" s="5" t="s">
        <v>11</v>
      </c>
      <c r="C7" s="5"/>
      <c r="D7" s="5"/>
      <c r="E7" s="4" t="s">
        <v>12</v>
      </c>
      <c r="F7" s="5" t="s">
        <v>13</v>
      </c>
      <c r="G7" s="5"/>
      <c r="H7" s="5"/>
    </row>
    <row r="8" customFormat="false" ht="15" hidden="false" customHeight="false" outlineLevel="0" collapsed="false">
      <c r="A8" s="4" t="s">
        <v>14</v>
      </c>
      <c r="B8" s="6"/>
      <c r="C8" s="6"/>
      <c r="D8" s="6"/>
      <c r="E8" s="4" t="s">
        <v>15</v>
      </c>
      <c r="F8" s="6"/>
      <c r="G8" s="6"/>
      <c r="H8" s="6"/>
    </row>
    <row r="10" customFormat="false" ht="15" hidden="false" customHeight="false" outlineLevel="0" collapsed="false">
      <c r="A10" s="3" t="s">
        <v>16</v>
      </c>
      <c r="B10" s="3"/>
      <c r="C10" s="3"/>
      <c r="D10" s="3"/>
      <c r="E10" s="3"/>
      <c r="F10" s="3"/>
      <c r="G10" s="3"/>
      <c r="H10" s="3"/>
    </row>
    <row r="11" customFormat="false" ht="15" hidden="false" customHeight="false" outlineLevel="0" collapsed="false">
      <c r="A11" s="7" t="s">
        <v>17</v>
      </c>
      <c r="B11" s="7" t="s">
        <v>18</v>
      </c>
      <c r="C11" s="7" t="s">
        <v>19</v>
      </c>
      <c r="D11" s="7" t="s">
        <v>20</v>
      </c>
      <c r="E11" s="7" t="s">
        <v>21</v>
      </c>
    </row>
    <row r="12" customFormat="false" ht="15" hidden="false" customHeight="false" outlineLevel="0" collapsed="false">
      <c r="A12" s="8" t="s">
        <v>22</v>
      </c>
      <c r="B12" s="9"/>
      <c r="C12" s="10" t="n">
        <v>0.25</v>
      </c>
      <c r="D12" s="11" t="n">
        <f aca="false">B12*C12</f>
        <v>0</v>
      </c>
      <c r="E12" s="12"/>
      <c r="F12" s="12"/>
      <c r="G12" s="12"/>
      <c r="H12" s="12"/>
    </row>
    <row r="13" customFormat="false" ht="15" hidden="false" customHeight="false" outlineLevel="0" collapsed="false">
      <c r="A13" s="8" t="s">
        <v>23</v>
      </c>
      <c r="B13" s="9"/>
      <c r="C13" s="10" t="n">
        <v>0.2</v>
      </c>
      <c r="D13" s="11" t="n">
        <f aca="false">B13*C13</f>
        <v>0</v>
      </c>
      <c r="E13" s="12"/>
      <c r="F13" s="12"/>
      <c r="G13" s="12"/>
      <c r="H13" s="12"/>
    </row>
    <row r="14" customFormat="false" ht="15" hidden="false" customHeight="false" outlineLevel="0" collapsed="false">
      <c r="A14" s="8" t="s">
        <v>24</v>
      </c>
      <c r="B14" s="9"/>
      <c r="C14" s="10" t="n">
        <v>0.15</v>
      </c>
      <c r="D14" s="11" t="n">
        <f aca="false">B14*C14</f>
        <v>0</v>
      </c>
      <c r="E14" s="12"/>
      <c r="F14" s="12"/>
      <c r="G14" s="12"/>
      <c r="H14" s="12"/>
    </row>
    <row r="15" customFormat="false" ht="15" hidden="false" customHeight="false" outlineLevel="0" collapsed="false">
      <c r="A15" s="8" t="s">
        <v>25</v>
      </c>
      <c r="B15" s="9"/>
      <c r="C15" s="10" t="n">
        <v>0.15</v>
      </c>
      <c r="D15" s="11" t="n">
        <f aca="false">B15*C15</f>
        <v>0</v>
      </c>
      <c r="E15" s="12"/>
      <c r="F15" s="12"/>
      <c r="G15" s="12"/>
      <c r="H15" s="12"/>
    </row>
    <row r="16" customFormat="false" ht="15" hidden="false" customHeight="false" outlineLevel="0" collapsed="false">
      <c r="A16" s="8" t="s">
        <v>26</v>
      </c>
      <c r="B16" s="9"/>
      <c r="C16" s="10" t="n">
        <v>0.1</v>
      </c>
      <c r="D16" s="11" t="n">
        <f aca="false">B16*C16</f>
        <v>0</v>
      </c>
      <c r="E16" s="12"/>
      <c r="F16" s="12"/>
      <c r="G16" s="12"/>
      <c r="H16" s="12"/>
    </row>
    <row r="17" customFormat="false" ht="15" hidden="false" customHeight="false" outlineLevel="0" collapsed="false">
      <c r="A17" s="8" t="s">
        <v>27</v>
      </c>
      <c r="B17" s="9"/>
      <c r="C17" s="10" t="n">
        <v>0.1</v>
      </c>
      <c r="D17" s="11" t="n">
        <f aca="false">B17*C17</f>
        <v>0</v>
      </c>
      <c r="E17" s="12"/>
      <c r="F17" s="12"/>
      <c r="G17" s="12"/>
      <c r="H17" s="12"/>
    </row>
    <row r="18" customFormat="false" ht="15" hidden="false" customHeight="false" outlineLevel="0" collapsed="false">
      <c r="A18" s="8" t="s">
        <v>28</v>
      </c>
      <c r="B18" s="9"/>
      <c r="C18" s="10" t="n">
        <v>0.05</v>
      </c>
      <c r="D18" s="11" t="n">
        <f aca="false">B18*C18</f>
        <v>0</v>
      </c>
      <c r="E18" s="12"/>
      <c r="F18" s="12"/>
      <c r="G18" s="12"/>
      <c r="H18" s="12"/>
    </row>
    <row r="19" customFormat="false" ht="17.35" hidden="false" customHeight="false" outlineLevel="0" collapsed="false">
      <c r="A19" s="4" t="s">
        <v>29</v>
      </c>
      <c r="B19" s="4"/>
      <c r="C19" s="4"/>
      <c r="D19" s="13" t="n">
        <f aca="false">SUM(D12:D18)</f>
        <v>0</v>
      </c>
    </row>
    <row r="21" customFormat="false" ht="15" hidden="false" customHeight="false" outlineLevel="0" collapsed="false">
      <c r="A21" s="14" t="s">
        <v>30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15" t="s">
        <v>31</v>
      </c>
      <c r="B22" s="16" t="s">
        <v>32</v>
      </c>
      <c r="C22" s="17" t="s">
        <v>33</v>
      </c>
      <c r="D22" s="17"/>
      <c r="E22" s="17"/>
      <c r="F22" s="17"/>
      <c r="G22" s="17"/>
      <c r="H22" s="17"/>
    </row>
    <row r="23" customFormat="false" ht="15" hidden="false" customHeight="false" outlineLevel="0" collapsed="false">
      <c r="A23" s="15" t="s">
        <v>34</v>
      </c>
      <c r="B23" s="16" t="s">
        <v>35</v>
      </c>
      <c r="C23" s="17" t="s">
        <v>36</v>
      </c>
      <c r="D23" s="17"/>
      <c r="E23" s="17"/>
      <c r="F23" s="17"/>
      <c r="G23" s="17"/>
      <c r="H23" s="17"/>
    </row>
    <row r="24" customFormat="false" ht="15" hidden="false" customHeight="false" outlineLevel="0" collapsed="false">
      <c r="A24" s="15" t="s">
        <v>37</v>
      </c>
      <c r="B24" s="16" t="s">
        <v>38</v>
      </c>
      <c r="C24" s="17" t="s">
        <v>39</v>
      </c>
      <c r="D24" s="17"/>
      <c r="E24" s="17"/>
      <c r="F24" s="17"/>
      <c r="G24" s="17"/>
      <c r="H24" s="17"/>
    </row>
    <row r="25" customFormat="false" ht="15" hidden="false" customHeight="false" outlineLevel="0" collapsed="false">
      <c r="A25" s="15" t="s">
        <v>40</v>
      </c>
      <c r="B25" s="16" t="s">
        <v>41</v>
      </c>
      <c r="C25" s="17" t="s">
        <v>42</v>
      </c>
      <c r="D25" s="17"/>
      <c r="E25" s="17"/>
      <c r="F25" s="17"/>
      <c r="G25" s="17"/>
      <c r="H25" s="17"/>
    </row>
    <row r="27" customFormat="false" ht="15" hidden="false" customHeight="false" outlineLevel="0" collapsed="false">
      <c r="A27" s="18" t="s">
        <v>43</v>
      </c>
      <c r="B27" s="18"/>
      <c r="C27" s="18"/>
      <c r="D27" s="18"/>
      <c r="E27" s="18"/>
      <c r="F27" s="18"/>
      <c r="G27" s="18"/>
      <c r="H27" s="18"/>
    </row>
    <row r="28" customFormat="false" ht="15" hidden="false" customHeight="false" outlineLevel="0" collapsed="false">
      <c r="A28" s="19" t="s">
        <v>44</v>
      </c>
      <c r="B28" s="20"/>
      <c r="C28" s="20"/>
      <c r="D28" s="20"/>
      <c r="E28" s="20"/>
      <c r="F28" s="20"/>
      <c r="G28" s="20"/>
      <c r="H28" s="20"/>
    </row>
    <row r="29" customFormat="false" ht="15" hidden="false" customHeight="false" outlineLevel="0" collapsed="false">
      <c r="A29" s="19" t="s">
        <v>45</v>
      </c>
      <c r="B29" s="21"/>
      <c r="C29" s="21"/>
      <c r="D29" s="21"/>
      <c r="E29" s="21"/>
      <c r="F29" s="21"/>
      <c r="G29" s="21"/>
      <c r="H29" s="21"/>
    </row>
    <row r="30" customFormat="false" ht="15" hidden="false" customHeight="false" outlineLevel="0" collapsed="false">
      <c r="B30" s="21"/>
      <c r="C30" s="21"/>
      <c r="D30" s="21"/>
      <c r="E30" s="21"/>
      <c r="F30" s="21"/>
      <c r="G30" s="21"/>
      <c r="H30" s="21"/>
    </row>
    <row r="31" customFormat="false" ht="15" hidden="false" customHeight="false" outlineLevel="0" collapsed="false">
      <c r="A31" s="19" t="s">
        <v>46</v>
      </c>
      <c r="B31" s="21"/>
      <c r="C31" s="21"/>
      <c r="D31" s="21"/>
      <c r="E31" s="21"/>
      <c r="F31" s="21"/>
      <c r="G31" s="21"/>
      <c r="H31" s="21"/>
    </row>
    <row r="32" customFormat="false" ht="15" hidden="false" customHeight="false" outlineLevel="0" collapsed="false">
      <c r="B32" s="21"/>
      <c r="C32" s="21"/>
      <c r="D32" s="21"/>
      <c r="E32" s="21"/>
      <c r="F32" s="21"/>
      <c r="G32" s="21"/>
      <c r="H32" s="21"/>
    </row>
    <row r="33" customFormat="false" ht="15" hidden="false" customHeight="false" outlineLevel="0" collapsed="false">
      <c r="A33" s="19" t="s">
        <v>47</v>
      </c>
      <c r="B33" s="21"/>
      <c r="C33" s="21"/>
      <c r="D33" s="21"/>
      <c r="E33" s="21"/>
      <c r="F33" s="21"/>
      <c r="G33" s="21"/>
      <c r="H33" s="21"/>
    </row>
    <row r="34" customFormat="false" ht="15" hidden="false" customHeight="false" outlineLevel="0" collapsed="false">
      <c r="B34" s="21"/>
      <c r="C34" s="21"/>
      <c r="D34" s="21"/>
      <c r="E34" s="21"/>
      <c r="F34" s="21"/>
      <c r="G34" s="21"/>
      <c r="H34" s="21"/>
    </row>
  </sheetData>
  <mergeCells count="30">
    <mergeCell ref="A1:H1"/>
    <mergeCell ref="A2:H2"/>
    <mergeCell ref="A4:H4"/>
    <mergeCell ref="B5:D5"/>
    <mergeCell ref="F5:H5"/>
    <mergeCell ref="B6:D6"/>
    <mergeCell ref="F6:H6"/>
    <mergeCell ref="B7:D7"/>
    <mergeCell ref="F7:H7"/>
    <mergeCell ref="B8:D8"/>
    <mergeCell ref="F8:H8"/>
    <mergeCell ref="A10:H10"/>
    <mergeCell ref="E12:H12"/>
    <mergeCell ref="E13:H13"/>
    <mergeCell ref="E14:H14"/>
    <mergeCell ref="E15:H15"/>
    <mergeCell ref="E16:H16"/>
    <mergeCell ref="E17:H17"/>
    <mergeCell ref="E18:H18"/>
    <mergeCell ref="A19:C19"/>
    <mergeCell ref="A21:H21"/>
    <mergeCell ref="C22:H22"/>
    <mergeCell ref="C23:H23"/>
    <mergeCell ref="C24:H24"/>
    <mergeCell ref="C25:H25"/>
    <mergeCell ref="A27:H27"/>
    <mergeCell ref="B28:H28"/>
    <mergeCell ref="B29:H30"/>
    <mergeCell ref="B31:H32"/>
    <mergeCell ref="B33:H34"/>
  </mergeCells>
  <dataValidations count="4">
    <dataValidation allowBlank="false" errorStyle="stop" operator="between" showDropDown="false" showErrorMessage="false" showInputMessage="false" sqref="B8" type="list">
      <formula1>"Vendor Evaluation,Partnership,Acquisition,Co-Development,Technology Licensing"</formula1>
      <formula2>0</formula2>
    </dataValidation>
    <dataValidation allowBlank="false" errorStyle="stop" operator="between" showDropDown="false" showErrorMessage="false" showInputMessage="false" sqref="F8" type="list">
      <formula1>"Initial Discovery,Technical Deep Dive,Commercial Discussion,Final Evaluation,Follow-up"</formula1>
      <formula2>0</formula2>
    </dataValidation>
    <dataValidation allowBlank="false" error="Score must be between 1 and 5" errorStyle="stop" errorTitle="Invalid Score" operator="between" showDropDown="false" showErrorMessage="false" showInputMessage="false" sqref="B12:B18" type="whole">
      <formula1>1</formula1>
      <formula2>5</formula2>
    </dataValidation>
    <dataValidation allowBlank="false" errorStyle="stop" operator="between" showDropDown="false" showErrorMessage="false" showInputMessage="false" sqref="B28" type="list">
      <formula1>"Proceed to PoC,Proceed with Conditions,Explore Co-Development,Buy Off-the-Shelf,Build In-House,Seek Alternative Vendors,Requires Further Evaluation"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22" t="s">
        <v>48</v>
      </c>
      <c r="B1" s="22"/>
      <c r="C1" s="22"/>
      <c r="D1" s="22"/>
      <c r="E1" s="22"/>
      <c r="F1" s="22"/>
      <c r="G1" s="22"/>
    </row>
    <row r="3" customFormat="false" ht="15" hidden="false" customHeight="false" outlineLevel="0" collapsed="false">
      <c r="A3" s="18" t="s">
        <v>49</v>
      </c>
      <c r="B3" s="18"/>
      <c r="C3" s="18"/>
      <c r="D3" s="18"/>
      <c r="E3" s="18"/>
      <c r="F3" s="18"/>
      <c r="G3" s="18"/>
    </row>
    <row r="4" customFormat="false" ht="15" hidden="false" customHeight="false" outlineLevel="0" collapsed="false">
      <c r="A4" s="7" t="s">
        <v>50</v>
      </c>
      <c r="B4" s="7" t="s">
        <v>51</v>
      </c>
      <c r="C4" s="7" t="s">
        <v>18</v>
      </c>
      <c r="D4" s="7" t="s">
        <v>52</v>
      </c>
      <c r="E4" s="7" t="s">
        <v>53</v>
      </c>
      <c r="F4" s="7" t="s">
        <v>54</v>
      </c>
    </row>
    <row r="5" customFormat="false" ht="15" hidden="false" customHeight="false" outlineLevel="0" collapsed="false">
      <c r="A5" s="15" t="s">
        <v>55</v>
      </c>
      <c r="B5" s="8" t="s">
        <v>56</v>
      </c>
      <c r="C5" s="9"/>
      <c r="D5" s="6"/>
      <c r="E5" s="9"/>
      <c r="F5" s="6"/>
    </row>
    <row r="6" customFormat="false" ht="15" hidden="false" customHeight="false" outlineLevel="0" collapsed="false">
      <c r="A6" s="15" t="s">
        <v>57</v>
      </c>
      <c r="B6" s="8" t="s">
        <v>58</v>
      </c>
      <c r="C6" s="9"/>
      <c r="D6" s="6"/>
      <c r="E6" s="9"/>
      <c r="F6" s="6"/>
    </row>
    <row r="7" customFormat="false" ht="15" hidden="false" customHeight="false" outlineLevel="0" collapsed="false">
      <c r="A7" s="15" t="s">
        <v>59</v>
      </c>
      <c r="B7" s="8" t="s">
        <v>60</v>
      </c>
      <c r="C7" s="9"/>
      <c r="D7" s="6"/>
      <c r="E7" s="9"/>
      <c r="F7" s="6"/>
    </row>
    <row r="8" customFormat="false" ht="15" hidden="false" customHeight="false" outlineLevel="0" collapsed="false">
      <c r="A8" s="15" t="s">
        <v>61</v>
      </c>
      <c r="B8" s="8" t="s">
        <v>62</v>
      </c>
      <c r="C8" s="9"/>
      <c r="D8" s="6"/>
      <c r="E8" s="9"/>
      <c r="F8" s="6"/>
    </row>
    <row r="9" customFormat="false" ht="15" hidden="false" customHeight="false" outlineLevel="0" collapsed="false">
      <c r="A9" s="15" t="s">
        <v>63</v>
      </c>
      <c r="B9" s="8" t="s">
        <v>64</v>
      </c>
      <c r="C9" s="9"/>
      <c r="D9" s="6"/>
      <c r="E9" s="9"/>
      <c r="F9" s="6"/>
    </row>
    <row r="10" customFormat="false" ht="15" hidden="false" customHeight="false" outlineLevel="0" collapsed="false">
      <c r="A10" s="15" t="s">
        <v>65</v>
      </c>
      <c r="B10" s="8" t="s">
        <v>66</v>
      </c>
      <c r="C10" s="9"/>
      <c r="D10" s="6"/>
      <c r="E10" s="9"/>
      <c r="F10" s="6"/>
    </row>
    <row r="11" customFormat="false" ht="15" hidden="false" customHeight="false" outlineLevel="0" collapsed="false">
      <c r="A11" s="15" t="s">
        <v>67</v>
      </c>
      <c r="B11" s="8" t="s">
        <v>68</v>
      </c>
      <c r="C11" s="9"/>
      <c r="D11" s="6"/>
      <c r="E11" s="9"/>
      <c r="F11" s="6"/>
    </row>
    <row r="13" customFormat="false" ht="15" hidden="false" customHeight="false" outlineLevel="0" collapsed="false">
      <c r="A13" s="18" t="s">
        <v>69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7" t="s">
        <v>50</v>
      </c>
      <c r="B14" s="7" t="s">
        <v>51</v>
      </c>
      <c r="C14" s="7" t="s">
        <v>18</v>
      </c>
      <c r="D14" s="7" t="s">
        <v>52</v>
      </c>
      <c r="E14" s="7" t="s">
        <v>53</v>
      </c>
      <c r="F14" s="7" t="s">
        <v>54</v>
      </c>
    </row>
    <row r="15" customFormat="false" ht="15" hidden="false" customHeight="false" outlineLevel="0" collapsed="false">
      <c r="A15" s="15" t="s">
        <v>70</v>
      </c>
      <c r="B15" s="8" t="s">
        <v>71</v>
      </c>
      <c r="C15" s="9"/>
      <c r="D15" s="6"/>
      <c r="E15" s="9"/>
      <c r="F15" s="6"/>
    </row>
    <row r="16" customFormat="false" ht="15" hidden="false" customHeight="false" outlineLevel="0" collapsed="false">
      <c r="A16" s="15" t="s">
        <v>72</v>
      </c>
      <c r="B16" s="8" t="s">
        <v>73</v>
      </c>
      <c r="C16" s="9"/>
      <c r="D16" s="6"/>
      <c r="E16" s="9"/>
      <c r="F16" s="6"/>
    </row>
    <row r="17" customFormat="false" ht="15" hidden="false" customHeight="false" outlineLevel="0" collapsed="false">
      <c r="A17" s="15" t="s">
        <v>74</v>
      </c>
      <c r="B17" s="8" t="s">
        <v>75</v>
      </c>
      <c r="C17" s="9"/>
      <c r="D17" s="6"/>
      <c r="E17" s="9"/>
      <c r="F17" s="6"/>
    </row>
    <row r="18" customFormat="false" ht="15" hidden="false" customHeight="false" outlineLevel="0" collapsed="false">
      <c r="A18" s="15" t="s">
        <v>76</v>
      </c>
      <c r="B18" s="8" t="s">
        <v>77</v>
      </c>
      <c r="C18" s="9"/>
      <c r="D18" s="6"/>
      <c r="E18" s="9"/>
      <c r="F18" s="6"/>
    </row>
    <row r="19" customFormat="false" ht="15" hidden="false" customHeight="false" outlineLevel="0" collapsed="false">
      <c r="A19" s="15" t="s">
        <v>78</v>
      </c>
      <c r="B19" s="8" t="s">
        <v>79</v>
      </c>
      <c r="C19" s="9"/>
      <c r="D19" s="6"/>
      <c r="E19" s="9"/>
      <c r="F19" s="6"/>
    </row>
    <row r="20" customFormat="false" ht="15" hidden="false" customHeight="false" outlineLevel="0" collapsed="false">
      <c r="A20" s="15" t="s">
        <v>80</v>
      </c>
      <c r="B20" s="8" t="s">
        <v>81</v>
      </c>
      <c r="C20" s="9"/>
      <c r="D20" s="6"/>
      <c r="E20" s="9"/>
      <c r="F20" s="6"/>
    </row>
    <row r="22" customFormat="false" ht="15" hidden="false" customHeight="false" outlineLevel="0" collapsed="false">
      <c r="A22" s="18" t="s">
        <v>82</v>
      </c>
      <c r="B22" s="18"/>
      <c r="C22" s="18"/>
      <c r="D22" s="18"/>
      <c r="E22" s="18"/>
      <c r="F22" s="18"/>
      <c r="G22" s="18"/>
    </row>
    <row r="23" customFormat="false" ht="15" hidden="false" customHeight="false" outlineLevel="0" collapsed="false">
      <c r="A23" s="7" t="s">
        <v>50</v>
      </c>
      <c r="B23" s="7" t="s">
        <v>51</v>
      </c>
      <c r="C23" s="7" t="s">
        <v>18</v>
      </c>
      <c r="D23" s="7" t="s">
        <v>52</v>
      </c>
      <c r="E23" s="7" t="s">
        <v>53</v>
      </c>
      <c r="F23" s="7" t="s">
        <v>54</v>
      </c>
    </row>
    <row r="24" customFormat="false" ht="15" hidden="false" customHeight="false" outlineLevel="0" collapsed="false">
      <c r="A24" s="15" t="s">
        <v>83</v>
      </c>
      <c r="B24" s="8" t="s">
        <v>84</v>
      </c>
      <c r="C24" s="9"/>
      <c r="D24" s="6"/>
      <c r="E24" s="9"/>
      <c r="F24" s="6"/>
    </row>
    <row r="25" customFormat="false" ht="15" hidden="false" customHeight="false" outlineLevel="0" collapsed="false">
      <c r="A25" s="15" t="s">
        <v>85</v>
      </c>
      <c r="B25" s="8" t="s">
        <v>86</v>
      </c>
      <c r="C25" s="9"/>
      <c r="D25" s="6"/>
      <c r="E25" s="9"/>
      <c r="F25" s="6"/>
    </row>
    <row r="26" customFormat="false" ht="15" hidden="false" customHeight="false" outlineLevel="0" collapsed="false">
      <c r="A26" s="15" t="s">
        <v>87</v>
      </c>
      <c r="B26" s="8" t="s">
        <v>88</v>
      </c>
      <c r="C26" s="9"/>
      <c r="D26" s="6"/>
      <c r="E26" s="9"/>
      <c r="F26" s="6"/>
    </row>
    <row r="27" customFormat="false" ht="15" hidden="false" customHeight="false" outlineLevel="0" collapsed="false">
      <c r="A27" s="15" t="s">
        <v>89</v>
      </c>
      <c r="B27" s="8" t="s">
        <v>90</v>
      </c>
      <c r="C27" s="9"/>
      <c r="D27" s="6"/>
      <c r="E27" s="9"/>
      <c r="F27" s="6"/>
    </row>
    <row r="28" customFormat="false" ht="15" hidden="false" customHeight="false" outlineLevel="0" collapsed="false">
      <c r="A28" s="15" t="s">
        <v>91</v>
      </c>
      <c r="B28" s="8" t="s">
        <v>92</v>
      </c>
      <c r="C28" s="9"/>
      <c r="D28" s="6"/>
      <c r="E28" s="9"/>
      <c r="F28" s="6"/>
    </row>
    <row r="29" customFormat="false" ht="15" hidden="false" customHeight="false" outlineLevel="0" collapsed="false">
      <c r="A29" s="15" t="s">
        <v>93</v>
      </c>
      <c r="B29" s="8" t="s">
        <v>94</v>
      </c>
      <c r="C29" s="9"/>
      <c r="D29" s="6"/>
      <c r="E29" s="9"/>
      <c r="F29" s="6"/>
    </row>
    <row r="31" customFormat="false" ht="15" hidden="false" customHeight="false" outlineLevel="0" collapsed="false">
      <c r="A31" s="18" t="s">
        <v>95</v>
      </c>
      <c r="B31" s="18"/>
      <c r="C31" s="18"/>
      <c r="D31" s="18"/>
      <c r="E31" s="18"/>
      <c r="F31" s="18"/>
      <c r="G31" s="18"/>
    </row>
    <row r="32" customFormat="false" ht="15" hidden="false" customHeight="false" outlineLevel="0" collapsed="false">
      <c r="A32" s="7" t="s">
        <v>50</v>
      </c>
      <c r="B32" s="7" t="s">
        <v>51</v>
      </c>
      <c r="C32" s="7" t="s">
        <v>18</v>
      </c>
      <c r="D32" s="7" t="s">
        <v>52</v>
      </c>
      <c r="E32" s="7" t="s">
        <v>53</v>
      </c>
      <c r="F32" s="7" t="s">
        <v>54</v>
      </c>
    </row>
    <row r="33" customFormat="false" ht="15" hidden="false" customHeight="false" outlineLevel="0" collapsed="false">
      <c r="A33" s="15" t="s">
        <v>96</v>
      </c>
      <c r="B33" s="8" t="s">
        <v>97</v>
      </c>
      <c r="C33" s="9"/>
      <c r="D33" s="6"/>
      <c r="E33" s="9"/>
      <c r="F33" s="6"/>
    </row>
    <row r="34" customFormat="false" ht="15" hidden="false" customHeight="false" outlineLevel="0" collapsed="false">
      <c r="A34" s="15" t="s">
        <v>98</v>
      </c>
      <c r="B34" s="8" t="s">
        <v>99</v>
      </c>
      <c r="C34" s="9"/>
      <c r="D34" s="6"/>
      <c r="E34" s="9"/>
      <c r="F34" s="6"/>
    </row>
    <row r="35" customFormat="false" ht="15" hidden="false" customHeight="false" outlineLevel="0" collapsed="false">
      <c r="A35" s="15" t="s">
        <v>100</v>
      </c>
      <c r="B35" s="8" t="s">
        <v>101</v>
      </c>
      <c r="C35" s="9"/>
      <c r="D35" s="6"/>
      <c r="E35" s="9"/>
      <c r="F35" s="6"/>
    </row>
    <row r="36" customFormat="false" ht="15" hidden="false" customHeight="false" outlineLevel="0" collapsed="false">
      <c r="A36" s="15" t="s">
        <v>102</v>
      </c>
      <c r="B36" s="8" t="s">
        <v>103</v>
      </c>
      <c r="C36" s="9"/>
      <c r="D36" s="6"/>
      <c r="E36" s="9"/>
      <c r="F36" s="6"/>
    </row>
    <row r="37" customFormat="false" ht="15" hidden="false" customHeight="false" outlineLevel="0" collapsed="false">
      <c r="A37" s="15" t="s">
        <v>104</v>
      </c>
      <c r="B37" s="8" t="s">
        <v>105</v>
      </c>
      <c r="C37" s="9"/>
      <c r="D37" s="6"/>
      <c r="E37" s="9"/>
      <c r="F37" s="6"/>
    </row>
    <row r="38" customFormat="false" ht="15" hidden="false" customHeight="false" outlineLevel="0" collapsed="false">
      <c r="A38" s="15" t="s">
        <v>106</v>
      </c>
      <c r="B38" s="8" t="s">
        <v>107</v>
      </c>
      <c r="C38" s="9"/>
      <c r="D38" s="6"/>
      <c r="E38" s="9"/>
      <c r="F38" s="6"/>
    </row>
    <row r="40" customFormat="false" ht="15" hidden="false" customHeight="false" outlineLevel="0" collapsed="false">
      <c r="A40" s="18" t="s">
        <v>108</v>
      </c>
      <c r="B40" s="18"/>
      <c r="C40" s="18"/>
      <c r="D40" s="18"/>
      <c r="E40" s="18"/>
      <c r="F40" s="18"/>
      <c r="G40" s="18"/>
    </row>
    <row r="41" customFormat="false" ht="15" hidden="false" customHeight="false" outlineLevel="0" collapsed="false">
      <c r="A41" s="7" t="s">
        <v>50</v>
      </c>
      <c r="B41" s="7" t="s">
        <v>51</v>
      </c>
      <c r="C41" s="7" t="s">
        <v>18</v>
      </c>
      <c r="D41" s="7" t="s">
        <v>52</v>
      </c>
      <c r="E41" s="7" t="s">
        <v>53</v>
      </c>
      <c r="F41" s="7" t="s">
        <v>54</v>
      </c>
    </row>
    <row r="42" customFormat="false" ht="15" hidden="false" customHeight="false" outlineLevel="0" collapsed="false">
      <c r="A42" s="15" t="s">
        <v>109</v>
      </c>
      <c r="B42" s="8" t="s">
        <v>110</v>
      </c>
      <c r="C42" s="9"/>
      <c r="D42" s="6"/>
      <c r="E42" s="9"/>
      <c r="F42" s="6"/>
    </row>
    <row r="43" customFormat="false" ht="15" hidden="false" customHeight="false" outlineLevel="0" collapsed="false">
      <c r="A43" s="15" t="s">
        <v>111</v>
      </c>
      <c r="B43" s="8" t="s">
        <v>112</v>
      </c>
      <c r="C43" s="9"/>
      <c r="D43" s="6"/>
      <c r="E43" s="9"/>
      <c r="F43" s="6"/>
    </row>
    <row r="44" customFormat="false" ht="15" hidden="false" customHeight="false" outlineLevel="0" collapsed="false">
      <c r="A44" s="15" t="s">
        <v>113</v>
      </c>
      <c r="B44" s="8" t="s">
        <v>114</v>
      </c>
      <c r="C44" s="9"/>
      <c r="D44" s="6"/>
      <c r="E44" s="9"/>
      <c r="F44" s="6"/>
    </row>
    <row r="45" customFormat="false" ht="15" hidden="false" customHeight="false" outlineLevel="0" collapsed="false">
      <c r="A45" s="15" t="s">
        <v>115</v>
      </c>
      <c r="B45" s="8" t="s">
        <v>116</v>
      </c>
      <c r="C45" s="9"/>
      <c r="D45" s="6"/>
      <c r="E45" s="9"/>
      <c r="F45" s="6"/>
    </row>
    <row r="46" customFormat="false" ht="15" hidden="false" customHeight="false" outlineLevel="0" collapsed="false">
      <c r="A46" s="15" t="s">
        <v>117</v>
      </c>
      <c r="B46" s="8" t="s">
        <v>118</v>
      </c>
      <c r="C46" s="9"/>
      <c r="D46" s="6"/>
      <c r="E46" s="9"/>
      <c r="F46" s="6"/>
    </row>
    <row r="47" customFormat="false" ht="15" hidden="false" customHeight="false" outlineLevel="0" collapsed="false">
      <c r="A47" s="15" t="s">
        <v>119</v>
      </c>
      <c r="B47" s="8" t="s">
        <v>120</v>
      </c>
      <c r="C47" s="9"/>
      <c r="D47" s="6"/>
      <c r="E47" s="9"/>
      <c r="F47" s="6"/>
    </row>
  </sheetData>
  <mergeCells count="6">
    <mergeCell ref="A1:G1"/>
    <mergeCell ref="A3:G3"/>
    <mergeCell ref="A13:G13"/>
    <mergeCell ref="A22:G22"/>
    <mergeCell ref="A31:G31"/>
    <mergeCell ref="A40:G40"/>
  </mergeCells>
  <dataValidations count="1">
    <dataValidation allowBlank="false" errorStyle="stop" operator="between" showDropDown="false" showErrorMessage="false" showInputMessage="false" sqref="E5:E99" type="list">
      <formula1>"Yes,No,Maybe"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22" t="s">
        <v>121</v>
      </c>
      <c r="B1" s="22"/>
      <c r="C1" s="22"/>
      <c r="D1" s="22"/>
      <c r="E1" s="22"/>
      <c r="F1" s="22"/>
      <c r="G1" s="22"/>
      <c r="H1" s="22"/>
    </row>
    <row r="3" customFormat="false" ht="15" hidden="false" customHeight="false" outlineLevel="0" collapsed="false">
      <c r="A3" s="23" t="s">
        <v>122</v>
      </c>
      <c r="B3" s="23" t="s">
        <v>17</v>
      </c>
      <c r="C3" s="23" t="s">
        <v>51</v>
      </c>
      <c r="D3" s="23" t="s">
        <v>123</v>
      </c>
      <c r="E3" s="23" t="s">
        <v>124</v>
      </c>
      <c r="F3" s="23" t="s">
        <v>125</v>
      </c>
      <c r="G3" s="23" t="s">
        <v>126</v>
      </c>
      <c r="H3" s="23" t="s">
        <v>127</v>
      </c>
    </row>
    <row r="4" customFormat="false" ht="15" hidden="false" customHeight="false" outlineLevel="0" collapsed="false">
      <c r="A4" s="15" t="s">
        <v>128</v>
      </c>
      <c r="B4" s="15" t="s">
        <v>129</v>
      </c>
      <c r="C4" s="15" t="s">
        <v>130</v>
      </c>
      <c r="D4" s="24" t="s">
        <v>131</v>
      </c>
      <c r="E4" s="9"/>
      <c r="F4" s="9"/>
      <c r="G4" s="15" t="s">
        <v>132</v>
      </c>
      <c r="H4" s="15"/>
    </row>
    <row r="5" customFormat="false" ht="15" hidden="false" customHeight="false" outlineLevel="0" collapsed="false">
      <c r="A5" s="15" t="s">
        <v>133</v>
      </c>
      <c r="B5" s="15" t="s">
        <v>134</v>
      </c>
      <c r="C5" s="15" t="s">
        <v>135</v>
      </c>
      <c r="D5" s="24" t="s">
        <v>131</v>
      </c>
      <c r="E5" s="9"/>
      <c r="F5" s="9"/>
      <c r="G5" s="15" t="s">
        <v>136</v>
      </c>
      <c r="H5" s="15"/>
    </row>
    <row r="6" customFormat="false" ht="15" hidden="false" customHeight="false" outlineLevel="0" collapsed="false">
      <c r="A6" s="15" t="s">
        <v>137</v>
      </c>
      <c r="B6" s="15" t="s">
        <v>138</v>
      </c>
      <c r="C6" s="15" t="s">
        <v>139</v>
      </c>
      <c r="D6" s="24" t="s">
        <v>131</v>
      </c>
      <c r="E6" s="9"/>
      <c r="F6" s="9"/>
      <c r="G6" s="15" t="s">
        <v>140</v>
      </c>
      <c r="H6" s="15"/>
    </row>
    <row r="7" customFormat="false" ht="15" hidden="false" customHeight="false" outlineLevel="0" collapsed="false">
      <c r="A7" s="15" t="s">
        <v>141</v>
      </c>
      <c r="B7" s="15" t="s">
        <v>142</v>
      </c>
      <c r="C7" s="15" t="s">
        <v>143</v>
      </c>
      <c r="D7" s="24" t="s">
        <v>131</v>
      </c>
      <c r="E7" s="9"/>
      <c r="F7" s="9"/>
      <c r="G7" s="15" t="s">
        <v>144</v>
      </c>
      <c r="H7" s="15"/>
    </row>
    <row r="8" customFormat="false" ht="15" hidden="false" customHeight="false" outlineLevel="0" collapsed="false">
      <c r="A8" s="15" t="s">
        <v>145</v>
      </c>
      <c r="B8" s="15" t="s">
        <v>146</v>
      </c>
      <c r="C8" s="15" t="s">
        <v>147</v>
      </c>
      <c r="D8" s="24" t="s">
        <v>148</v>
      </c>
      <c r="E8" s="9"/>
      <c r="F8" s="9"/>
      <c r="G8" s="15" t="s">
        <v>149</v>
      </c>
      <c r="H8" s="15"/>
    </row>
    <row r="9" customFormat="false" ht="15" hidden="false" customHeight="false" outlineLevel="0" collapsed="false">
      <c r="A9" s="15" t="s">
        <v>150</v>
      </c>
      <c r="B9" s="15" t="s">
        <v>151</v>
      </c>
      <c r="C9" s="15" t="s">
        <v>152</v>
      </c>
      <c r="D9" s="24" t="s">
        <v>148</v>
      </c>
      <c r="E9" s="9"/>
      <c r="F9" s="9"/>
      <c r="G9" s="15" t="s">
        <v>153</v>
      </c>
      <c r="H9" s="15"/>
    </row>
    <row r="10" customFormat="false" ht="15" hidden="false" customHeight="false" outlineLevel="0" collapsed="false">
      <c r="A10" s="15" t="s">
        <v>154</v>
      </c>
      <c r="B10" s="15" t="s">
        <v>155</v>
      </c>
      <c r="C10" s="15" t="s">
        <v>156</v>
      </c>
      <c r="D10" s="24" t="s">
        <v>148</v>
      </c>
      <c r="E10" s="9"/>
      <c r="F10" s="9"/>
      <c r="G10" s="15" t="s">
        <v>157</v>
      </c>
      <c r="H10" s="15" t="s">
        <v>158</v>
      </c>
    </row>
  </sheetData>
  <mergeCells count="1">
    <mergeCell ref="A1:H1"/>
  </mergeCells>
  <dataValidations count="2">
    <dataValidation allowBlank="false" errorStyle="stop" operator="between" showDropDown="false" showErrorMessage="false" showInputMessage="false" sqref="D4:D19" type="list">
      <formula1>"High,Medium,Low"</formula1>
      <formula2>0</formula2>
    </dataValidation>
    <dataValidation allowBlank="false" errorStyle="stop" operator="between" showDropDown="false" showErrorMessage="false" showInputMessage="false" sqref="F4:F19" type="list">
      <formula1>"Easy,Moderate,Complex,Unknown"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22" t="s">
        <v>159</v>
      </c>
      <c r="B1" s="22"/>
      <c r="C1" s="22"/>
      <c r="D1" s="22"/>
      <c r="E1" s="22"/>
    </row>
    <row r="3" customFormat="false" ht="15" hidden="false" customHeight="false" outlineLevel="0" collapsed="false">
      <c r="A3" s="23" t="s">
        <v>160</v>
      </c>
      <c r="B3" s="23" t="s">
        <v>161</v>
      </c>
      <c r="C3" s="23" t="s">
        <v>162</v>
      </c>
      <c r="D3" s="23" t="s">
        <v>163</v>
      </c>
      <c r="E3" s="23" t="s">
        <v>164</v>
      </c>
    </row>
    <row r="4" customFormat="false" ht="15" hidden="false" customHeight="false" outlineLevel="0" collapsed="false">
      <c r="A4" s="8" t="s">
        <v>165</v>
      </c>
      <c r="B4" s="6"/>
      <c r="C4" s="6"/>
      <c r="D4" s="6"/>
      <c r="E4" s="6"/>
    </row>
    <row r="5" customFormat="false" ht="15" hidden="false" customHeight="false" outlineLevel="0" collapsed="false">
      <c r="A5" s="8" t="s">
        <v>166</v>
      </c>
      <c r="B5" s="6"/>
      <c r="C5" s="6"/>
      <c r="D5" s="6"/>
      <c r="E5" s="6"/>
    </row>
    <row r="6" customFormat="false" ht="28.35" hidden="false" customHeight="false" outlineLevel="0" collapsed="false">
      <c r="A6" s="8" t="s">
        <v>167</v>
      </c>
      <c r="B6" s="6"/>
      <c r="C6" s="6"/>
      <c r="D6" s="6"/>
      <c r="E6" s="6"/>
    </row>
    <row r="7" customFormat="false" ht="15" hidden="false" customHeight="false" outlineLevel="0" collapsed="false">
      <c r="A7" s="8" t="s">
        <v>168</v>
      </c>
      <c r="B7" s="6"/>
      <c r="C7" s="6"/>
      <c r="D7" s="6"/>
      <c r="E7" s="6"/>
    </row>
    <row r="8" customFormat="false" ht="28.35" hidden="false" customHeight="false" outlineLevel="0" collapsed="false">
      <c r="A8" s="8" t="s">
        <v>169</v>
      </c>
      <c r="B8" s="6"/>
      <c r="C8" s="6"/>
      <c r="D8" s="6"/>
      <c r="E8" s="6"/>
    </row>
    <row r="9" customFormat="false" ht="28.35" hidden="false" customHeight="false" outlineLevel="0" collapsed="false">
      <c r="A9" s="8" t="s">
        <v>170</v>
      </c>
      <c r="B9" s="6"/>
      <c r="C9" s="6"/>
      <c r="D9" s="6"/>
      <c r="E9" s="6"/>
    </row>
    <row r="10" customFormat="false" ht="28.35" hidden="false" customHeight="false" outlineLevel="0" collapsed="false">
      <c r="A10" s="8" t="s">
        <v>171</v>
      </c>
      <c r="B10" s="6"/>
      <c r="C10" s="6"/>
      <c r="D10" s="6"/>
      <c r="E10" s="6"/>
    </row>
    <row r="11" customFormat="false" ht="28.35" hidden="false" customHeight="false" outlineLevel="0" collapsed="false">
      <c r="A11" s="8" t="s">
        <v>172</v>
      </c>
      <c r="B11" s="6"/>
      <c r="C11" s="6"/>
      <c r="D11" s="6"/>
      <c r="E11" s="6"/>
    </row>
    <row r="12" customFormat="false" ht="28.35" hidden="false" customHeight="false" outlineLevel="0" collapsed="false">
      <c r="A12" s="8" t="s">
        <v>173</v>
      </c>
      <c r="B12" s="6"/>
      <c r="C12" s="6"/>
      <c r="D12" s="6"/>
      <c r="E12" s="6"/>
    </row>
    <row r="13" customFormat="false" ht="28.35" hidden="false" customHeight="false" outlineLevel="0" collapsed="false">
      <c r="A13" s="8" t="s">
        <v>174</v>
      </c>
      <c r="B13" s="6"/>
      <c r="C13" s="6"/>
      <c r="D13" s="6"/>
      <c r="E13" s="6"/>
    </row>
  </sheetData>
  <mergeCells count="1">
    <mergeCell ref="A1:E1"/>
  </mergeCells>
  <dataValidations count="3">
    <dataValidation allowBlank="false" errorStyle="stop" operator="between" showDropDown="false" showErrorMessage="false" showInputMessage="false" sqref="C4:C29" type="list">
      <formula1>"Good,Neutral,Concern,Unknown"</formula1>
      <formula2>0</formula2>
    </dataValidation>
    <dataValidation allowBlank="false" errorStyle="stop" operator="between" showDropDown="false" showErrorMessage="false" showInputMessage="false" sqref="D4:D29" type="list">
      <formula1>"Yes,No"</formula1>
      <formula2>0</formula2>
    </dataValidation>
    <dataValidation allowBlank="false" errorStyle="stop" operator="between" showDropDown="false" showErrorMessage="false" showInputMessage="false" sqref="E4:E2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8" min="3" style="0" width="15"/>
  </cols>
  <sheetData>
    <row r="1" customFormat="false" ht="19.7" hidden="false" customHeight="false" outlineLevel="0" collapsed="false">
      <c r="A1" s="22" t="s">
        <v>175</v>
      </c>
      <c r="B1" s="22"/>
      <c r="C1" s="22"/>
      <c r="D1" s="22"/>
      <c r="E1" s="22"/>
      <c r="F1" s="22"/>
      <c r="G1" s="22"/>
      <c r="H1" s="22"/>
    </row>
    <row r="3" customFormat="false" ht="15" hidden="false" customHeight="false" outlineLevel="0" collapsed="false">
      <c r="A3" s="23" t="s">
        <v>50</v>
      </c>
      <c r="B3" s="23" t="s">
        <v>19</v>
      </c>
      <c r="C3" s="23" t="s">
        <v>176</v>
      </c>
      <c r="D3" s="23" t="s">
        <v>177</v>
      </c>
      <c r="E3" s="23" t="s">
        <v>178</v>
      </c>
      <c r="F3" s="23" t="s">
        <v>177</v>
      </c>
      <c r="G3" s="23" t="s">
        <v>179</v>
      </c>
      <c r="H3" s="23" t="s">
        <v>177</v>
      </c>
    </row>
    <row r="4" customFormat="false" ht="15" hidden="false" customHeight="false" outlineLevel="0" collapsed="false">
      <c r="A4" s="15" t="s">
        <v>180</v>
      </c>
      <c r="B4" s="25" t="n">
        <v>0.15</v>
      </c>
      <c r="C4" s="6"/>
      <c r="D4" s="9"/>
      <c r="E4" s="6"/>
      <c r="F4" s="9"/>
      <c r="G4" s="6"/>
      <c r="H4" s="9"/>
    </row>
    <row r="5" customFormat="false" ht="15" hidden="false" customHeight="false" outlineLevel="0" collapsed="false">
      <c r="A5" s="15" t="s">
        <v>181</v>
      </c>
      <c r="B5" s="25" t="n">
        <v>0.15</v>
      </c>
      <c r="C5" s="6"/>
      <c r="D5" s="9"/>
      <c r="E5" s="6"/>
      <c r="F5" s="9"/>
      <c r="G5" s="6"/>
      <c r="H5" s="9"/>
    </row>
    <row r="6" customFormat="false" ht="15" hidden="false" customHeight="false" outlineLevel="0" collapsed="false">
      <c r="A6" s="15" t="s">
        <v>24</v>
      </c>
      <c r="B6" s="25" t="n">
        <v>0.12</v>
      </c>
      <c r="C6" s="6"/>
      <c r="D6" s="9"/>
      <c r="E6" s="6"/>
      <c r="F6" s="9"/>
      <c r="G6" s="6"/>
      <c r="H6" s="9"/>
    </row>
    <row r="7" customFormat="false" ht="15" hidden="false" customHeight="false" outlineLevel="0" collapsed="false">
      <c r="A7" s="15" t="s">
        <v>25</v>
      </c>
      <c r="B7" s="25" t="n">
        <v>0.12</v>
      </c>
      <c r="C7" s="6"/>
      <c r="D7" s="9"/>
      <c r="E7" s="6"/>
      <c r="F7" s="9"/>
      <c r="G7" s="6"/>
      <c r="H7" s="9"/>
    </row>
    <row r="8" customFormat="false" ht="15" hidden="false" customHeight="false" outlineLevel="0" collapsed="false">
      <c r="A8" s="15" t="s">
        <v>182</v>
      </c>
      <c r="B8" s="25" t="n">
        <v>0.08</v>
      </c>
      <c r="C8" s="6"/>
      <c r="D8" s="9"/>
      <c r="E8" s="6"/>
      <c r="F8" s="9"/>
      <c r="G8" s="6"/>
      <c r="H8" s="9"/>
    </row>
    <row r="9" customFormat="false" ht="15" hidden="false" customHeight="false" outlineLevel="0" collapsed="false">
      <c r="A9" s="15" t="s">
        <v>142</v>
      </c>
      <c r="B9" s="25" t="n">
        <v>0.1</v>
      </c>
      <c r="C9" s="6"/>
      <c r="D9" s="9"/>
      <c r="E9" s="6"/>
      <c r="F9" s="9"/>
      <c r="G9" s="6"/>
      <c r="H9" s="9"/>
    </row>
    <row r="10" customFormat="false" ht="15" hidden="false" customHeight="false" outlineLevel="0" collapsed="false">
      <c r="A10" s="15" t="s">
        <v>183</v>
      </c>
      <c r="B10" s="25" t="n">
        <v>0.08</v>
      </c>
      <c r="C10" s="6"/>
      <c r="D10" s="9"/>
      <c r="E10" s="6"/>
      <c r="F10" s="9"/>
      <c r="G10" s="6"/>
      <c r="H10" s="9"/>
    </row>
    <row r="11" customFormat="false" ht="15" hidden="false" customHeight="false" outlineLevel="0" collapsed="false">
      <c r="A11" s="15" t="s">
        <v>184</v>
      </c>
      <c r="B11" s="25" t="n">
        <v>0.1</v>
      </c>
      <c r="C11" s="6"/>
      <c r="D11" s="9"/>
      <c r="E11" s="6"/>
      <c r="F11" s="9"/>
      <c r="G11" s="6"/>
      <c r="H11" s="9"/>
    </row>
    <row r="12" customFormat="false" ht="15" hidden="false" customHeight="false" outlineLevel="0" collapsed="false">
      <c r="A12" s="15" t="s">
        <v>185</v>
      </c>
      <c r="B12" s="25" t="n">
        <v>0.05</v>
      </c>
      <c r="C12" s="6"/>
      <c r="D12" s="9"/>
      <c r="E12" s="6"/>
      <c r="F12" s="9"/>
      <c r="G12" s="6"/>
      <c r="H12" s="9"/>
    </row>
    <row r="13" customFormat="false" ht="15" hidden="false" customHeight="false" outlineLevel="0" collapsed="false">
      <c r="A13" s="15" t="s">
        <v>186</v>
      </c>
      <c r="B13" s="25" t="n">
        <v>0.05</v>
      </c>
      <c r="C13" s="6"/>
      <c r="D13" s="9"/>
      <c r="E13" s="6"/>
      <c r="F13" s="9"/>
      <c r="G13" s="6"/>
      <c r="H13" s="9"/>
    </row>
    <row r="14" customFormat="false" ht="17.35" hidden="false" customHeight="false" outlineLevel="0" collapsed="false">
      <c r="A14" s="14" t="s">
        <v>187</v>
      </c>
      <c r="B14" s="14"/>
      <c r="D14" s="26" t="n">
        <f aca="false">SUMPRODUCT($B$4:$B$13,D4:D13)</f>
        <v>0</v>
      </c>
      <c r="F14" s="26" t="n">
        <f aca="false">SUMPRODUCT($B$4:$B$13,F4:F13)</f>
        <v>0</v>
      </c>
      <c r="H14" s="26" t="n">
        <f aca="false">SUMPRODUCT($B$4:$B$13,H4:H13)</f>
        <v>0</v>
      </c>
    </row>
  </sheetData>
  <mergeCells count="2">
    <mergeCell ref="A1:H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9.7" hidden="false" customHeight="false" outlineLevel="0" collapsed="false">
      <c r="A1" s="22" t="s">
        <v>188</v>
      </c>
      <c r="B1" s="22"/>
      <c r="C1" s="22"/>
      <c r="D1" s="22"/>
    </row>
    <row r="3" customFormat="false" ht="15" hidden="false" customHeight="false" outlineLevel="0" collapsed="false">
      <c r="A3" s="27" t="s">
        <v>189</v>
      </c>
      <c r="B3" s="27"/>
      <c r="C3" s="27"/>
      <c r="D3" s="27"/>
    </row>
    <row r="4" customFormat="false" ht="15" hidden="false" customHeight="false" outlineLevel="0" collapsed="false">
      <c r="A4" s="28" t="s">
        <v>190</v>
      </c>
      <c r="B4" s="28"/>
      <c r="C4" s="28"/>
      <c r="D4" s="28"/>
    </row>
    <row r="5" customFormat="false" ht="15" hidden="false" customHeight="false" outlineLevel="0" collapsed="false">
      <c r="A5" s="28" t="s">
        <v>191</v>
      </c>
      <c r="B5" s="28"/>
      <c r="C5" s="28"/>
      <c r="D5" s="28"/>
    </row>
    <row r="6" customFormat="false" ht="15" hidden="false" customHeight="false" outlineLevel="0" collapsed="false">
      <c r="A6" s="28" t="s">
        <v>192</v>
      </c>
      <c r="B6" s="28"/>
      <c r="C6" s="28"/>
      <c r="D6" s="28"/>
    </row>
    <row r="7" customFormat="false" ht="15" hidden="false" customHeight="false" outlineLevel="0" collapsed="false">
      <c r="A7" s="28" t="s">
        <v>193</v>
      </c>
      <c r="B7" s="28"/>
      <c r="C7" s="28"/>
      <c r="D7" s="28"/>
    </row>
    <row r="8" customFormat="false" ht="15" hidden="false" customHeight="false" outlineLevel="0" collapsed="false">
      <c r="A8" s="28" t="s">
        <v>194</v>
      </c>
      <c r="B8" s="28"/>
      <c r="C8" s="28"/>
      <c r="D8" s="28"/>
    </row>
    <row r="10" customFormat="false" ht="15" hidden="false" customHeight="false" outlineLevel="0" collapsed="false">
      <c r="A10" s="27" t="s">
        <v>195</v>
      </c>
      <c r="B10" s="27"/>
      <c r="C10" s="27"/>
      <c r="D10" s="27"/>
    </row>
    <row r="11" customFormat="false" ht="15" hidden="false" customHeight="false" outlineLevel="0" collapsed="false">
      <c r="A11" s="28" t="s">
        <v>196</v>
      </c>
      <c r="B11" s="28"/>
      <c r="C11" s="28"/>
      <c r="D11" s="28"/>
    </row>
    <row r="12" customFormat="false" ht="15" hidden="false" customHeight="false" outlineLevel="0" collapsed="false">
      <c r="A12" s="28" t="s">
        <v>197</v>
      </c>
      <c r="B12" s="28"/>
      <c r="C12" s="28"/>
      <c r="D12" s="28"/>
    </row>
    <row r="13" customFormat="false" ht="15" hidden="false" customHeight="false" outlineLevel="0" collapsed="false">
      <c r="A13" s="28" t="s">
        <v>198</v>
      </c>
      <c r="B13" s="28"/>
      <c r="C13" s="28"/>
      <c r="D13" s="28"/>
    </row>
    <row r="14" customFormat="false" ht="15" hidden="false" customHeight="false" outlineLevel="0" collapsed="false">
      <c r="A14" s="28" t="s">
        <v>199</v>
      </c>
      <c r="B14" s="28"/>
      <c r="C14" s="28"/>
      <c r="D14" s="28"/>
    </row>
    <row r="16" customFormat="false" ht="15" hidden="false" customHeight="false" outlineLevel="0" collapsed="false">
      <c r="A16" s="27" t="s">
        <v>200</v>
      </c>
      <c r="B16" s="27"/>
      <c r="C16" s="27"/>
      <c r="D16" s="27"/>
    </row>
    <row r="17" customFormat="false" ht="15" hidden="false" customHeight="false" outlineLevel="0" collapsed="false">
      <c r="A17" s="28" t="s">
        <v>201</v>
      </c>
      <c r="B17" s="28"/>
      <c r="C17" s="28"/>
      <c r="D17" s="28"/>
    </row>
    <row r="18" customFormat="false" ht="15" hidden="false" customHeight="false" outlineLevel="0" collapsed="false">
      <c r="A18" s="28" t="s">
        <v>202</v>
      </c>
      <c r="B18" s="28"/>
      <c r="C18" s="28"/>
      <c r="D18" s="28"/>
    </row>
    <row r="19" customFormat="false" ht="15" hidden="false" customHeight="false" outlineLevel="0" collapsed="false">
      <c r="A19" s="28" t="s">
        <v>203</v>
      </c>
      <c r="B19" s="28"/>
      <c r="C19" s="28"/>
      <c r="D19" s="28"/>
    </row>
    <row r="20" customFormat="false" ht="15" hidden="false" customHeight="false" outlineLevel="0" collapsed="false">
      <c r="A20" s="28" t="s">
        <v>204</v>
      </c>
      <c r="B20" s="28"/>
      <c r="C20" s="28"/>
      <c r="D20" s="28"/>
    </row>
    <row r="22" customFormat="false" ht="15" hidden="false" customHeight="false" outlineLevel="0" collapsed="false">
      <c r="A22" s="27" t="s">
        <v>205</v>
      </c>
      <c r="B22" s="27"/>
      <c r="C22" s="27"/>
      <c r="D22" s="27"/>
    </row>
    <row r="23" customFormat="false" ht="15" hidden="false" customHeight="false" outlineLevel="0" collapsed="false">
      <c r="A23" s="28" t="s">
        <v>206</v>
      </c>
      <c r="B23" s="28"/>
      <c r="C23" s="28"/>
      <c r="D23" s="28"/>
    </row>
    <row r="24" customFormat="false" ht="15" hidden="false" customHeight="false" outlineLevel="0" collapsed="false">
      <c r="A24" s="28" t="s">
        <v>207</v>
      </c>
      <c r="B24" s="28"/>
      <c r="C24" s="28"/>
      <c r="D24" s="28"/>
    </row>
    <row r="25" customFormat="false" ht="15" hidden="false" customHeight="false" outlineLevel="0" collapsed="false">
      <c r="A25" s="28" t="s">
        <v>208</v>
      </c>
      <c r="B25" s="28"/>
      <c r="C25" s="28"/>
      <c r="D25" s="28"/>
    </row>
    <row r="26" customFormat="false" ht="15" hidden="false" customHeight="false" outlineLevel="0" collapsed="false">
      <c r="A26" s="28" t="s">
        <v>209</v>
      </c>
      <c r="B26" s="28"/>
      <c r="C26" s="28"/>
      <c r="D26" s="28"/>
    </row>
    <row r="28" customFormat="false" ht="15" hidden="false" customHeight="false" outlineLevel="0" collapsed="false">
      <c r="A28" s="27" t="s">
        <v>210</v>
      </c>
      <c r="B28" s="27"/>
      <c r="C28" s="27"/>
      <c r="D28" s="27"/>
    </row>
    <row r="29" customFormat="false" ht="15" hidden="false" customHeight="false" outlineLevel="0" collapsed="false">
      <c r="A29" s="28" t="s">
        <v>211</v>
      </c>
      <c r="B29" s="28"/>
      <c r="C29" s="28"/>
      <c r="D29" s="28"/>
    </row>
    <row r="30" customFormat="false" ht="15" hidden="false" customHeight="false" outlineLevel="0" collapsed="false">
      <c r="A30" s="28" t="s">
        <v>212</v>
      </c>
      <c r="B30" s="28"/>
      <c r="C30" s="28"/>
      <c r="D30" s="28"/>
    </row>
    <row r="31" customFormat="false" ht="15" hidden="false" customHeight="false" outlineLevel="0" collapsed="false">
      <c r="A31" s="28" t="s">
        <v>213</v>
      </c>
      <c r="B31" s="28"/>
      <c r="C31" s="28"/>
      <c r="D31" s="28"/>
    </row>
    <row r="32" customFormat="false" ht="15" hidden="false" customHeight="false" outlineLevel="0" collapsed="false">
      <c r="A32" s="28" t="s">
        <v>214</v>
      </c>
      <c r="B32" s="28"/>
      <c r="C32" s="28"/>
      <c r="D32" s="28"/>
    </row>
    <row r="34" customFormat="false" ht="15" hidden="false" customHeight="false" outlineLevel="0" collapsed="false">
      <c r="A34" s="27" t="s">
        <v>215</v>
      </c>
      <c r="B34" s="27"/>
      <c r="C34" s="27"/>
      <c r="D34" s="27"/>
    </row>
    <row r="35" customFormat="false" ht="15" hidden="false" customHeight="false" outlineLevel="0" collapsed="false">
      <c r="A35" s="28" t="s">
        <v>216</v>
      </c>
      <c r="B35" s="28"/>
      <c r="C35" s="28"/>
      <c r="D35" s="28"/>
    </row>
    <row r="36" customFormat="false" ht="15" hidden="false" customHeight="false" outlineLevel="0" collapsed="false">
      <c r="A36" s="28" t="s">
        <v>217</v>
      </c>
      <c r="B36" s="28"/>
      <c r="C36" s="28"/>
      <c r="D36" s="28"/>
    </row>
    <row r="37" customFormat="false" ht="15" hidden="false" customHeight="false" outlineLevel="0" collapsed="false">
      <c r="A37" s="28" t="s">
        <v>218</v>
      </c>
      <c r="B37" s="28"/>
      <c r="C37" s="28"/>
      <c r="D37" s="28"/>
    </row>
    <row r="38" customFormat="false" ht="15" hidden="false" customHeight="false" outlineLevel="0" collapsed="false">
      <c r="A38" s="28" t="s">
        <v>219</v>
      </c>
      <c r="B38" s="28"/>
      <c r="C38" s="28"/>
      <c r="D38" s="28"/>
    </row>
    <row r="39" customFormat="false" ht="15" hidden="false" customHeight="false" outlineLevel="0" collapsed="false">
      <c r="A39" s="28" t="s">
        <v>220</v>
      </c>
      <c r="B39" s="28"/>
      <c r="C39" s="28"/>
      <c r="D39" s="28"/>
    </row>
  </sheetData>
  <mergeCells count="33">
    <mergeCell ref="A1:D1"/>
    <mergeCell ref="A3:D3"/>
    <mergeCell ref="A4:D4"/>
    <mergeCell ref="A5:D5"/>
    <mergeCell ref="A6:D6"/>
    <mergeCell ref="A7:D7"/>
    <mergeCell ref="A8:D8"/>
    <mergeCell ref="A10:D10"/>
    <mergeCell ref="A11:D11"/>
    <mergeCell ref="A12:D12"/>
    <mergeCell ref="A13:D13"/>
    <mergeCell ref="A14:D14"/>
    <mergeCell ref="A16:D16"/>
    <mergeCell ref="A17:D17"/>
    <mergeCell ref="A18:D18"/>
    <mergeCell ref="A19:D19"/>
    <mergeCell ref="A20:D20"/>
    <mergeCell ref="A22:D22"/>
    <mergeCell ref="A23:D23"/>
    <mergeCell ref="A24:D24"/>
    <mergeCell ref="A25:D25"/>
    <mergeCell ref="A26:D26"/>
    <mergeCell ref="A28:D28"/>
    <mergeCell ref="A29:D29"/>
    <mergeCell ref="A30:D30"/>
    <mergeCell ref="A31:D31"/>
    <mergeCell ref="A32:D32"/>
    <mergeCell ref="A34:D34"/>
    <mergeCell ref="A35:D35"/>
    <mergeCell ref="A36:D36"/>
    <mergeCell ref="A37:D37"/>
    <mergeCell ref="A38:D38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2025-12-01T09:14:08Z</dcterms:created>
  <dc:creator>openpyxl</dc:creator>
  <dc:description/>
  <dc:language>en-US</dc:language>
  <cp:lastModifiedBy/>
  <dcterms:modified xsi:type="dcterms:W3CDTF">2025-12-01T09:14:08Z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